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tock-Market-Analytics\Excel\"/>
    </mc:Choice>
  </mc:AlternateContent>
  <xr:revisionPtr revIDLastSave="0" documentId="13_ncr:1_{ED4DCE96-A4D6-4F0A-B187-72DE9DDF0064}" xr6:coauthVersionLast="47" xr6:coauthVersionMax="47" xr10:uidLastSave="{00000000-0000-0000-0000-000000000000}"/>
  <bookViews>
    <workbookView xWindow="-98" yWindow="-98" windowWidth="19396" windowHeight="11475" firstSheet="2" activeTab="4" xr2:uid="{4720CB0B-6998-476A-A451-EB45FDB1A829}"/>
  </bookViews>
  <sheets>
    <sheet name="stock_analysis_summary" sheetId="5" r:id="rId1"/>
    <sheet name="Stock Summary" sheetId="1" r:id="rId2"/>
    <sheet name="Risk Analysis" sheetId="2" r:id="rId3"/>
    <sheet name="Sector Analysis" sheetId="3" r:id="rId4"/>
    <sheet name="Dashboard" sheetId="4" r:id="rId5"/>
  </sheets>
  <definedNames>
    <definedName name="ExternalData_1" localSheetId="1" hidden="1">'Stock Summary'!$A$8:$K$19</definedName>
    <definedName name="ExternalData_1" localSheetId="0" hidden="1">stock_analysis_summary!$A$1:$K$12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/>
  <c r="G5" i="4"/>
  <c r="D5" i="4"/>
  <c r="A5" i="4"/>
  <c r="G4" i="3"/>
  <c r="B5" i="3"/>
  <c r="C5" i="3"/>
  <c r="D5" i="3"/>
  <c r="E5" i="3"/>
  <c r="F5" i="3"/>
  <c r="G5" i="3"/>
  <c r="B6" i="3"/>
  <c r="C6" i="3"/>
  <c r="D6" i="3"/>
  <c r="E6" i="3"/>
  <c r="F6" i="3"/>
  <c r="G6" i="3"/>
  <c r="B7" i="3"/>
  <c r="C7" i="3"/>
  <c r="D7" i="3"/>
  <c r="E7" i="3"/>
  <c r="F7" i="3"/>
  <c r="G7" i="3"/>
  <c r="B8" i="3"/>
  <c r="C8" i="3"/>
  <c r="D8" i="3"/>
  <c r="E8" i="3"/>
  <c r="F8" i="3"/>
  <c r="G8" i="3"/>
  <c r="B9" i="3"/>
  <c r="C9" i="3"/>
  <c r="D9" i="3"/>
  <c r="E9" i="3"/>
  <c r="F9" i="3"/>
  <c r="G9" i="3"/>
  <c r="B10" i="3"/>
  <c r="C10" i="3"/>
  <c r="D10" i="3"/>
  <c r="E10" i="3"/>
  <c r="F10" i="3"/>
  <c r="G10" i="3"/>
  <c r="F4" i="3"/>
  <c r="E4" i="3"/>
  <c r="D4" i="3"/>
  <c r="C4" i="3"/>
  <c r="B4" i="3"/>
  <c r="B5" i="1"/>
  <c r="B4" i="1"/>
  <c r="B3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07784C-C1F0-47E6-81B9-2671409AF3AA}" keepAlive="1" name="Query - stock_analysis_summary" description="Connection to the 'stock_analysis_summary' query in the workbook." type="5" refreshedVersion="8" background="1" saveData="1">
    <dbPr connection="Provider=Microsoft.Mashup.OleDb.1;Data Source=$Workbook$;Location=stock_analysis_summary;Extended Properties=&quot;&quot;" command="SELECT * FROM [stock_analysis_summary]"/>
  </connection>
  <connection id="2" xr16:uid="{E5603E68-D48E-4D40-8D7C-627C51B1D5C8}" keepAlive="1" name="Query - stock_analysis_summary (2)" description="Connection to the 'stock_analysis_summary (2)' query in the workbook." type="5" refreshedVersion="8" background="1" saveData="1">
    <dbPr connection="Provider=Microsoft.Mashup.OleDb.1;Data Source=$Workbook$;Location=&quot;stock_analysis_summary (2)&quot;;Extended Properties=&quot;&quot;" command="SELECT * FROM [stock_analysis_summary (2)]"/>
  </connection>
</connections>
</file>

<file path=xl/sharedStrings.xml><?xml version="1.0" encoding="utf-8"?>
<sst xmlns="http://schemas.openxmlformats.org/spreadsheetml/2006/main" count="118" uniqueCount="47">
  <si>
    <t>Stock</t>
  </si>
  <si>
    <t>Sector</t>
  </si>
  <si>
    <t>Latest_Price</t>
  </si>
  <si>
    <t>Highest_Price</t>
  </si>
  <si>
    <t>Lowest_Price</t>
  </si>
  <si>
    <t>Daily_Volatility</t>
  </si>
  <si>
    <t>Annualized_Volatility</t>
  </si>
  <si>
    <t>Annualized_Return</t>
  </si>
  <si>
    <t>Maximum_Drawdown</t>
  </si>
  <si>
    <t>Sharpe_Ratio</t>
  </si>
  <si>
    <t>Average_Volume</t>
  </si>
  <si>
    <t>SBIN</t>
  </si>
  <si>
    <t>Banking</t>
  </si>
  <si>
    <t>SUNPHARMA</t>
  </si>
  <si>
    <t>Healthcare</t>
  </si>
  <si>
    <t>AXISBANK</t>
  </si>
  <si>
    <t>LT</t>
  </si>
  <si>
    <t>Industrials</t>
  </si>
  <si>
    <t>ICICIBANK</t>
  </si>
  <si>
    <t>RELIANCE</t>
  </si>
  <si>
    <t>Energy</t>
  </si>
  <si>
    <t>MARUTI</t>
  </si>
  <si>
    <t>Automobile</t>
  </si>
  <si>
    <t>INFY</t>
  </si>
  <si>
    <t>IT</t>
  </si>
  <si>
    <t>TCS</t>
  </si>
  <si>
    <t>HDFCBANK</t>
  </si>
  <si>
    <t>ITC</t>
  </si>
  <si>
    <t>FMCG</t>
  </si>
  <si>
    <t>STOCK MARKET ANALYTICS</t>
  </si>
  <si>
    <t>Best Performing Stock</t>
  </si>
  <si>
    <t>Highest Annualized Return</t>
  </si>
  <si>
    <t>Lowest Volatility</t>
  </si>
  <si>
    <t>Best Sharpe Ratio</t>
  </si>
  <si>
    <t>RISK VS RETURN ANALYSIS</t>
  </si>
  <si>
    <t>SECTOR ANALYSIS</t>
  </si>
  <si>
    <t>Number of Stocks</t>
  </si>
  <si>
    <t>Average Return</t>
  </si>
  <si>
    <t>Average Volatility</t>
  </si>
  <si>
    <t>Average Drawdown</t>
  </si>
  <si>
    <t>Average Sharpe Ratio</t>
  </si>
  <si>
    <t>Average Volume</t>
  </si>
  <si>
    <t>STOCK MARKET ANALYTICS DASHBOARD</t>
  </si>
  <si>
    <t>BEST PERFORMING STOCK</t>
  </si>
  <si>
    <t>HIGHEST ANNUALIZED RETURN</t>
  </si>
  <si>
    <t>LOWEST VOLATILITY</t>
  </si>
  <si>
    <t>BEST SHARPE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</si>
</sst>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0" borderId="0" xfId="0" applyAlignment="1">
      <alignment horizontal="right"/>
    </xf>
    <xf numFmtId="9" fontId="0" fillId="0" borderId="0" xfId="1" applyFont="1"/>
    <xf numFmtId="164" fontId="0" fillId="0" borderId="0" xfId="1" applyNumberFormat="1" applyFont="1"/>
    <xf numFmtId="2" fontId="0" fillId="0" borderId="0" xfId="0" applyNumberFormat="1"/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0" fontId="0" fillId="0" borderId="2" xfId="0" applyBorder="1"/>
    <xf numFmtId="164" fontId="0" fillId="3" borderId="2" xfId="1" applyNumberFormat="1" applyFont="1" applyFill="1" applyBorder="1"/>
    <xf numFmtId="164" fontId="0" fillId="0" borderId="2" xfId="1" applyNumberFormat="1" applyFont="1" applyBorder="1"/>
    <xf numFmtId="4" fontId="0" fillId="0" borderId="0" xfId="0" applyNumberFormat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10">
    <dxf>
      <numFmt numFmtId="4" formatCode="#,##0.00"/>
    </dxf>
    <dxf>
      <numFmt numFmtId="2" formatCode="0.00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Risk vs Return Analysis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'Risk Analysis'!$D$4</c:f>
              <c:strCache>
                <c:ptCount val="1"/>
                <c:pt idx="0">
                  <c:v>Annualized_Volatility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F13E187-2C43-41D7-B067-728AE87311A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242-4E66-A30B-C6AFC9BF968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7A3A4ED-7069-4A7B-8502-FCA9A6D1E8C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242-4E66-A30B-C6AFC9BF968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2BA585B-87F2-4B22-BA69-892CF02A856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242-4E66-A30B-C6AFC9BF968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62C33A3-DB62-459C-9572-04F06C6B2AA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242-4E66-A30B-C6AFC9BF968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AFACF8B-3652-4501-BB2F-73504E5A2F0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242-4E66-A30B-C6AFC9BF968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AFE232B-7E9F-4518-8E9E-47602B06449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242-4E66-A30B-C6AFC9BF968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8D1808E-096E-40B0-8B2E-7EB57529B75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242-4E66-A30B-C6AFC9BF968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08D74F6-803E-4461-97A8-966216168BC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242-4E66-A30B-C6AFC9BF968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7CE8EE3-F6C9-41F7-AF5A-9DEC91752E8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242-4E66-A30B-C6AFC9BF968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E1D76BE-66CB-41D6-B96A-54E2B1EFD22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242-4E66-A30B-C6AFC9BF968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407F8E6-08CA-4449-813B-154D765D67E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242-4E66-A30B-C6AFC9BF96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'Risk Analysis'!$D$5:$D$15</c:f>
              <c:numCache>
                <c:formatCode>0.0%</c:formatCode>
                <c:ptCount val="11"/>
                <c:pt idx="0">
                  <c:v>0.23248256183016078</c:v>
                </c:pt>
                <c:pt idx="1">
                  <c:v>0.19193797659597378</c:v>
                </c:pt>
                <c:pt idx="2">
                  <c:v>0.24252533210214716</c:v>
                </c:pt>
                <c:pt idx="3">
                  <c:v>0.24745992860877891</c:v>
                </c:pt>
                <c:pt idx="4">
                  <c:v>0.19055579821818236</c:v>
                </c:pt>
                <c:pt idx="5">
                  <c:v>0.20190319880787291</c:v>
                </c:pt>
                <c:pt idx="6">
                  <c:v>0.23391770960569858</c:v>
                </c:pt>
                <c:pt idx="7">
                  <c:v>0.29876448521783416</c:v>
                </c:pt>
                <c:pt idx="8">
                  <c:v>0.27946948154202833</c:v>
                </c:pt>
                <c:pt idx="9">
                  <c:v>0.20918191909748227</c:v>
                </c:pt>
                <c:pt idx="10">
                  <c:v>0.20514637046645606</c:v>
                </c:pt>
              </c:numCache>
            </c:numRef>
          </c:xVal>
          <c:yVal>
            <c:numRef>
              <c:f>'Risk Analysis'!$C$5:$C$15</c:f>
              <c:numCache>
                <c:formatCode>0.0%</c:formatCode>
                <c:ptCount val="11"/>
                <c:pt idx="0">
                  <c:v>0.28341914273308122</c:v>
                </c:pt>
                <c:pt idx="1">
                  <c:v>0.23392822874688157</c:v>
                </c:pt>
                <c:pt idx="2">
                  <c:v>0.18511540273198301</c:v>
                </c:pt>
                <c:pt idx="3">
                  <c:v>0.10607492218763892</c:v>
                </c:pt>
                <c:pt idx="4">
                  <c:v>1.9135364989369297E-2</c:v>
                </c:pt>
                <c:pt idx="5">
                  <c:v>-3.3163453726272274E-2</c:v>
                </c:pt>
                <c:pt idx="6">
                  <c:v>-0.13011352186471414</c:v>
                </c:pt>
                <c:pt idx="7">
                  <c:v>-0.22902494331065759</c:v>
                </c:pt>
                <c:pt idx="8">
                  <c:v>-0.23889995502152539</c:v>
                </c:pt>
                <c:pt idx="9">
                  <c:v>-0.25110456553755522</c:v>
                </c:pt>
                <c:pt idx="10">
                  <c:v>-0.34310705925834661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'Risk Analysis'!$A$5:$A$15</c15:f>
                <c15:dlblRangeCache>
                  <c:ptCount val="11"/>
                  <c:pt idx="0">
                    <c:v>SBIN</c:v>
                  </c:pt>
                  <c:pt idx="1">
                    <c:v>SUNPHARMA</c:v>
                  </c:pt>
                  <c:pt idx="2">
                    <c:v>AXISBANK</c:v>
                  </c:pt>
                  <c:pt idx="3">
                    <c:v>LT</c:v>
                  </c:pt>
                  <c:pt idx="4">
                    <c:v>ICICIBANK</c:v>
                  </c:pt>
                  <c:pt idx="5">
                    <c:v>RELIANCE</c:v>
                  </c:pt>
                  <c:pt idx="6">
                    <c:v>MARUTI</c:v>
                  </c:pt>
                  <c:pt idx="7">
                    <c:v>INFY</c:v>
                  </c:pt>
                  <c:pt idx="8">
                    <c:v>TCS</c:v>
                  </c:pt>
                  <c:pt idx="9">
                    <c:v>HDFCBANK</c:v>
                  </c:pt>
                  <c:pt idx="10">
                    <c:v>ITC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242-4E66-A30B-C6AFC9BF96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69968015"/>
        <c:axId val="630072015"/>
      </c:scatterChart>
      <c:valAx>
        <c:axId val="116996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72015"/>
        <c:crosses val="autoZero"/>
        <c:crossBetween val="midCat"/>
      </c:valAx>
      <c:valAx>
        <c:axId val="63007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96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Annualized Return by Sector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'Sector Analysis'!$C$3</c:f>
              <c:strCache>
                <c:ptCount val="1"/>
                <c:pt idx="0">
                  <c:v>Average Return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'Sector Analysis'!$A$4:$A$10</c:f>
              <c:strCache>
                <c:ptCount val="7"/>
                <c:pt idx="0">
                  <c:v>Banking</c:v>
                </c:pt>
                <c:pt idx="1">
                  <c:v>Healthcare</c:v>
                </c:pt>
                <c:pt idx="2">
                  <c:v>Industrials</c:v>
                </c:pt>
                <c:pt idx="3">
                  <c:v>Energy</c:v>
                </c:pt>
                <c:pt idx="4">
                  <c:v>Automobile</c:v>
                </c:pt>
                <c:pt idx="5">
                  <c:v>IT</c:v>
                </c:pt>
                <c:pt idx="6">
                  <c:v>FMCG</c:v>
                </c:pt>
              </c:strCache>
            </c:strRef>
          </c:cat>
          <c:val>
            <c:numRef>
              <c:f>'Sector Analysis'!$C$4:$C$10</c:f>
              <c:numCache>
                <c:formatCode>0%</c:formatCode>
                <c:ptCount val="7"/>
                <c:pt idx="0">
                  <c:v>5.9141336229219577E-2</c:v>
                </c:pt>
                <c:pt idx="1">
                  <c:v>0.23392822874688157</c:v>
                </c:pt>
                <c:pt idx="2">
                  <c:v>0.10607492218763892</c:v>
                </c:pt>
                <c:pt idx="3">
                  <c:v>-3.3163453726272274E-2</c:v>
                </c:pt>
                <c:pt idx="4">
                  <c:v>-0.13011352186471414</c:v>
                </c:pt>
                <c:pt idx="5">
                  <c:v>-0.23396244916609149</c:v>
                </c:pt>
                <c:pt idx="6">
                  <c:v>-0.34310705925834661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A-4BCC-868B-BA962ABCAC5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9940639"/>
        <c:axId val="630034095"/>
      </c:barChart>
      <c:catAx>
        <c:axId val="116994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34095"/>
        <c:crosses val="autoZero"/>
        <c:auto val="1"/>
        <c:lblAlgn val="ctr"/>
        <c:lblOffset val="100"/>
        <c:noMultiLvlLbl val="0"/>
      </c:catAx>
      <c:valAx>
        <c:axId val="6300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94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'Sector Analysis'!$D$3</c:f>
              <c:strCache>
                <c:ptCount val="1"/>
                <c:pt idx="0">
                  <c:v>Average Volatility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'Sector Analysis'!$A$4:$A$10</c:f>
              <c:strCache>
                <c:ptCount val="7"/>
                <c:pt idx="0">
                  <c:v>Banking</c:v>
                </c:pt>
                <c:pt idx="1">
                  <c:v>Healthcare</c:v>
                </c:pt>
                <c:pt idx="2">
                  <c:v>Industrials</c:v>
                </c:pt>
                <c:pt idx="3">
                  <c:v>Energy</c:v>
                </c:pt>
                <c:pt idx="4">
                  <c:v>Automobile</c:v>
                </c:pt>
                <c:pt idx="5">
                  <c:v>IT</c:v>
                </c:pt>
                <c:pt idx="6">
                  <c:v>FMCG</c:v>
                </c:pt>
              </c:strCache>
            </c:strRef>
          </c:cat>
          <c:val>
            <c:numRef>
              <c:f>'Sector Analysis'!$D$4:$D$10</c:f>
              <c:numCache>
                <c:formatCode>0%</c:formatCode>
                <c:ptCount val="7"/>
                <c:pt idx="0">
                  <c:v>0.21868640281199314</c:v>
                </c:pt>
                <c:pt idx="1">
                  <c:v>0.19193797659597378</c:v>
                </c:pt>
                <c:pt idx="2">
                  <c:v>0.24745992860877891</c:v>
                </c:pt>
                <c:pt idx="3">
                  <c:v>0.20190319880787291</c:v>
                </c:pt>
                <c:pt idx="4">
                  <c:v>0.23391770960569858</c:v>
                </c:pt>
                <c:pt idx="5">
                  <c:v>0.28911698337993125</c:v>
                </c:pt>
                <c:pt idx="6">
                  <c:v>0.20514637046645606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7-48F1-979C-762B83A12D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9957807"/>
        <c:axId val="630038415"/>
      </c:barChart>
      <c:catAx>
        <c:axId val="116995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38415"/>
        <c:crosses val="autoZero"/>
        <c:auto val="1"/>
        <c:lblAlgn val="ctr"/>
        <c:lblOffset val="100"/>
        <c:noMultiLvlLbl val="0"/>
      </c:catAx>
      <c:valAx>
        <c:axId val="63003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95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Annualized Return by Stock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stock_analysis_summary!$H$1</c:f>
              <c:strCache>
                <c:ptCount val="1"/>
                <c:pt idx="0">
                  <c:v>Annualized_Return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stock_analysis_summary!$A$2:$A$12</c:f>
              <c:strCache>
                <c:ptCount val="11"/>
                <c:pt idx="0">
                  <c:v>SBIN</c:v>
                </c:pt>
                <c:pt idx="1">
                  <c:v>SUNPHARMA</c:v>
                </c:pt>
                <c:pt idx="2">
                  <c:v>AXISBANK</c:v>
                </c:pt>
                <c:pt idx="3">
                  <c:v>LT</c:v>
                </c:pt>
                <c:pt idx="4">
                  <c:v>ICICIBANK</c:v>
                </c:pt>
                <c:pt idx="5">
                  <c:v>RELIANCE</c:v>
                </c:pt>
                <c:pt idx="6">
                  <c:v>MARUTI</c:v>
                </c:pt>
                <c:pt idx="7">
                  <c:v>INFY</c:v>
                </c:pt>
                <c:pt idx="8">
                  <c:v>TCS</c:v>
                </c:pt>
                <c:pt idx="9">
                  <c:v>HDFCBANK</c:v>
                </c:pt>
                <c:pt idx="10">
                  <c:v>ITC</c:v>
                </c:pt>
              </c:strCache>
            </c:strRef>
          </c:cat>
          <c:val>
            <c:numRef>
              <c:f>stock_analysis_summary!$H$2:$H$12</c:f>
              <c:numCache>
                <c:formatCode>General</c:formatCode>
                <c:ptCount val="11"/>
                <c:pt idx="0">
                  <c:v>0.28341914273308122</c:v>
                </c:pt>
                <c:pt idx="1">
                  <c:v>0.23392822874688157</c:v>
                </c:pt>
                <c:pt idx="2">
                  <c:v>0.18511540273198301</c:v>
                </c:pt>
                <c:pt idx="3">
                  <c:v>0.10607492218763892</c:v>
                </c:pt>
                <c:pt idx="4">
                  <c:v>1.9135364989369297E-2</c:v>
                </c:pt>
                <c:pt idx="5">
                  <c:v>-3.3163453726272274E-2</c:v>
                </c:pt>
                <c:pt idx="6">
                  <c:v>-0.13011352186471414</c:v>
                </c:pt>
                <c:pt idx="7">
                  <c:v>-0.22902494331065759</c:v>
                </c:pt>
                <c:pt idx="8">
                  <c:v>-0.23889995502152539</c:v>
                </c:pt>
                <c:pt idx="9">
                  <c:v>-0.25110456553755522</c:v>
                </c:pt>
                <c:pt idx="10">
                  <c:v>-0.34310705925834661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B-4BBF-9923-81BC0025BC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9937855"/>
        <c:axId val="630059055"/>
      </c:barChart>
      <c:catAx>
        <c:axId val="116993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59055"/>
        <c:crosses val="autoZero"/>
        <c:auto val="1"/>
        <c:lblAlgn val="ctr"/>
        <c:lblOffset val="100"/>
        <c:noMultiLvlLbl val="0"/>
      </c:catAx>
      <c:valAx>
        <c:axId val="63005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93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Risk vs Return Analysis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'Risk Analysis'!$D$4</c:f>
              <c:strCache>
                <c:ptCount val="1"/>
                <c:pt idx="0">
                  <c:v>Annualized_Volatility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198685C-7572-408B-92B8-A2AF529D8DA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4D0-4818-8E8E-F524C211A4A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5BFE8DB-EE79-4D71-863C-F1F71620F58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4D0-4818-8E8E-F524C211A4A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EE92180-81D1-4B64-83B8-A77884801BD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4D0-4818-8E8E-F524C211A4A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88CE552-E99F-494C-9563-4D22DB38BDC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4D0-4818-8E8E-F524C211A4A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788CCCB-D2A7-407E-B489-A7685FDF080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4D0-4818-8E8E-F524C211A4A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2DAB114-7697-44D7-A9BA-AB2FCEAE70B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4D0-4818-8E8E-F524C211A4A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2D3E2AF-B203-434D-A09F-F65C6931D6B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4D0-4818-8E8E-F524C211A4A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D6EA0F7-6B5B-4655-81A6-C713E08C343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4D0-4818-8E8E-F524C211A4A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2F25AA2-6A29-4561-891D-A1C7386E584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4D0-4818-8E8E-F524C211A4A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DEC501B-F57F-46A5-996A-C0152FEB558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4D0-4818-8E8E-F524C211A4A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C8B9866-6A06-4212-B50F-12595D2DC50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4D0-4818-8E8E-F524C211A4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'Risk Analysis'!$D$5:$D$15</c:f>
              <c:numCache>
                <c:formatCode>0.0%</c:formatCode>
                <c:ptCount val="11"/>
                <c:pt idx="0">
                  <c:v>0.23248256183016078</c:v>
                </c:pt>
                <c:pt idx="1">
                  <c:v>0.19193797659597378</c:v>
                </c:pt>
                <c:pt idx="2">
                  <c:v>0.24252533210214716</c:v>
                </c:pt>
                <c:pt idx="3">
                  <c:v>0.24745992860877891</c:v>
                </c:pt>
                <c:pt idx="4">
                  <c:v>0.19055579821818236</c:v>
                </c:pt>
                <c:pt idx="5">
                  <c:v>0.20190319880787291</c:v>
                </c:pt>
                <c:pt idx="6">
                  <c:v>0.23391770960569858</c:v>
                </c:pt>
                <c:pt idx="7">
                  <c:v>0.29876448521783416</c:v>
                </c:pt>
                <c:pt idx="8">
                  <c:v>0.27946948154202833</c:v>
                </c:pt>
                <c:pt idx="9">
                  <c:v>0.20918191909748227</c:v>
                </c:pt>
                <c:pt idx="10">
                  <c:v>0.20514637046645606</c:v>
                </c:pt>
              </c:numCache>
            </c:numRef>
          </c:xVal>
          <c:yVal>
            <c:numRef>
              <c:f>'Risk Analysis'!$C$5:$C$15</c:f>
              <c:numCache>
                <c:formatCode>0.0%</c:formatCode>
                <c:ptCount val="11"/>
                <c:pt idx="0">
                  <c:v>0.28341914273308122</c:v>
                </c:pt>
                <c:pt idx="1">
                  <c:v>0.23392822874688157</c:v>
                </c:pt>
                <c:pt idx="2">
                  <c:v>0.18511540273198301</c:v>
                </c:pt>
                <c:pt idx="3">
                  <c:v>0.10607492218763892</c:v>
                </c:pt>
                <c:pt idx="4">
                  <c:v>1.9135364989369297E-2</c:v>
                </c:pt>
                <c:pt idx="5">
                  <c:v>-3.3163453726272274E-2</c:v>
                </c:pt>
                <c:pt idx="6">
                  <c:v>-0.13011352186471414</c:v>
                </c:pt>
                <c:pt idx="7">
                  <c:v>-0.22902494331065759</c:v>
                </c:pt>
                <c:pt idx="8">
                  <c:v>-0.23889995502152539</c:v>
                </c:pt>
                <c:pt idx="9">
                  <c:v>-0.25110456553755522</c:v>
                </c:pt>
                <c:pt idx="10">
                  <c:v>-0.34310705925834661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'Risk Analysis'!$A$5:$A$15</c15:f>
                <c15:dlblRangeCache>
                  <c:ptCount val="11"/>
                  <c:pt idx="0">
                    <c:v>SBIN</c:v>
                  </c:pt>
                  <c:pt idx="1">
                    <c:v>SUNPHARMA</c:v>
                  </c:pt>
                  <c:pt idx="2">
                    <c:v>AXISBANK</c:v>
                  </c:pt>
                  <c:pt idx="3">
                    <c:v>LT</c:v>
                  </c:pt>
                  <c:pt idx="4">
                    <c:v>ICICIBANK</c:v>
                  </c:pt>
                  <c:pt idx="5">
                    <c:v>RELIANCE</c:v>
                  </c:pt>
                  <c:pt idx="6">
                    <c:v>MARUTI</c:v>
                  </c:pt>
                  <c:pt idx="7">
                    <c:v>INFY</c:v>
                  </c:pt>
                  <c:pt idx="8">
                    <c:v>TCS</c:v>
                  </c:pt>
                  <c:pt idx="9">
                    <c:v>HDFCBANK</c:v>
                  </c:pt>
                  <c:pt idx="10">
                    <c:v>ITC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D4D0-4818-8E8E-F524C211A4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69968015"/>
        <c:axId val="630072015"/>
      </c:scatterChart>
      <c:valAx>
        <c:axId val="116996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72015"/>
        <c:crosses val="autoZero"/>
        <c:crossBetween val="midCat"/>
      </c:valAx>
      <c:valAx>
        <c:axId val="63007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96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Annualized Return by Sector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'Sector Analysis'!$C$3</c:f>
              <c:strCache>
                <c:ptCount val="1"/>
                <c:pt idx="0">
                  <c:v>Average Return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'Sector Analysis'!$A$4:$A$10</c:f>
              <c:strCache>
                <c:ptCount val="7"/>
                <c:pt idx="0">
                  <c:v>Banking</c:v>
                </c:pt>
                <c:pt idx="1">
                  <c:v>Healthcare</c:v>
                </c:pt>
                <c:pt idx="2">
                  <c:v>Industrials</c:v>
                </c:pt>
                <c:pt idx="3">
                  <c:v>Energy</c:v>
                </c:pt>
                <c:pt idx="4">
                  <c:v>Automobile</c:v>
                </c:pt>
                <c:pt idx="5">
                  <c:v>IT</c:v>
                </c:pt>
                <c:pt idx="6">
                  <c:v>FMCG</c:v>
                </c:pt>
              </c:strCache>
            </c:strRef>
          </c:cat>
          <c:val>
            <c:numRef>
              <c:f>'Sector Analysis'!$C$4:$C$10</c:f>
              <c:numCache>
                <c:formatCode>0%</c:formatCode>
                <c:ptCount val="7"/>
                <c:pt idx="0">
                  <c:v>5.9141336229219577E-2</c:v>
                </c:pt>
                <c:pt idx="1">
                  <c:v>0.23392822874688157</c:v>
                </c:pt>
                <c:pt idx="2">
                  <c:v>0.10607492218763892</c:v>
                </c:pt>
                <c:pt idx="3">
                  <c:v>-3.3163453726272274E-2</c:v>
                </c:pt>
                <c:pt idx="4">
                  <c:v>-0.13011352186471414</c:v>
                </c:pt>
                <c:pt idx="5">
                  <c:v>-0.23396244916609149</c:v>
                </c:pt>
                <c:pt idx="6">
                  <c:v>-0.34310705925834661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8-4C3B-8028-5B2F171A6F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9940639"/>
        <c:axId val="630034095"/>
      </c:barChart>
      <c:catAx>
        <c:axId val="116994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34095"/>
        <c:crosses val="autoZero"/>
        <c:auto val="1"/>
        <c:lblAlgn val="ctr"/>
        <c:lblOffset val="100"/>
        <c:noMultiLvlLbl val="0"/>
      </c:catAx>
      <c:valAx>
        <c:axId val="6300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94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464343</xdr:colOff>
      <xdr:row>4</xdr:row>
      <xdr:rowOff>85725</xdr:rowOff>
    </xdr:from>
    <xdr:to>
      <xdr:col>11</xdr:col>
      <xdr:colOff>502443</xdr:colOff>
      <xdr:row>19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47C434-1CA5-8151-0C54-F7C3AC2E6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469106</xdr:colOff>
      <xdr:row>10</xdr:row>
      <xdr:rowOff>47625</xdr:rowOff>
    </xdr:from>
    <xdr:to>
      <xdr:col>3</xdr:col>
      <xdr:colOff>1169193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85D402-6E84-A1F2-D48D-F6817FAFB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111919</xdr:colOff>
      <xdr:row>10</xdr:row>
      <xdr:rowOff>104774</xdr:rowOff>
    </xdr:from>
    <xdr:to>
      <xdr:col>6</xdr:col>
      <xdr:colOff>1085851</xdr:colOff>
      <xdr:row>22</xdr:row>
      <xdr:rowOff>138111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FA5664-8340-5D59-74DA-2D0372409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16808</xdr:colOff>
      <xdr:row>27</xdr:row>
      <xdr:rowOff>61232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386D9-A75D-4AF5-9ED8-362CF1BDF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142874</xdr:colOff>
      <xdr:row>7</xdr:row>
      <xdr:rowOff>163285</xdr:rowOff>
    </xdr:from>
    <xdr:to>
      <xdr:col>12</xdr:col>
      <xdr:colOff>465425</xdr:colOff>
      <xdr:row>27</xdr:row>
      <xdr:rowOff>75765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E32482-787B-45EA-BBE7-F10A4CF0B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79787</xdr:colOff>
      <xdr:row>30</xdr:row>
      <xdr:rowOff>63090</xdr:rowOff>
    </xdr:from>
    <xdr:to>
      <xdr:col>5</xdr:col>
      <xdr:colOff>1201448</xdr:colOff>
      <xdr:row>48</xdr:row>
      <xdr:rowOff>86591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B73613-B545-4F9A-83E6-A428F5933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D3A94B-C397-4B42-AAD6-6600903588AC}" autoFormatId="16" applyNumberFormats="0" applyBorderFormats="0" applyFontFormats="0" applyPatternFormats="0" applyAlignmentFormats="0" applyWidthHeightFormats="0">
  <queryTableRefresh nextId="12">
    <queryTableFields count="11">
      <queryTableField id="1" name="Stock" tableColumnId="1"/>
      <queryTableField id="2" name="Sector" tableColumnId="2"/>
      <queryTableField id="3" name="Latest_Price" tableColumnId="3"/>
      <queryTableField id="4" name="Highest_Price" tableColumnId="4"/>
      <queryTableField id="5" name="Lowest_Price" tableColumnId="5"/>
      <queryTableField id="6" name="Daily_Volatility" tableColumnId="6"/>
      <queryTableField id="7" name="Annualized_Volatility" tableColumnId="7"/>
      <queryTableField id="8" name="Annualized_Return" tableColumnId="8"/>
      <queryTableField id="9" name="Maximum_Drawdown" tableColumnId="9"/>
      <queryTableField id="10" name="Sharpe_Ratio" tableColumnId="10"/>
      <queryTableField id="11" name="Average_Volum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315D1A9-DE60-4E09-81D7-73A857C0B182}" autoFormatId="16" applyNumberFormats="0" applyBorderFormats="0" applyFontFormats="0" applyPatternFormats="0" applyAlignmentFormats="0" applyWidthHeightFormats="0">
  <queryTableRefresh nextId="12">
    <queryTableFields count="11">
      <queryTableField id="1" name="Stock" tableColumnId="1"/>
      <queryTableField id="2" name="Sector" tableColumnId="2"/>
      <queryTableField id="3" name="Latest_Price" tableColumnId="3"/>
      <queryTableField id="4" name="Highest_Price" tableColumnId="4"/>
      <queryTableField id="5" name="Lowest_Price" tableColumnId="5"/>
      <queryTableField id="6" name="Daily_Volatility" tableColumnId="6"/>
      <queryTableField id="7" name="Annualized_Volatility" tableColumnId="7"/>
      <queryTableField id="8" name="Annualized_Return" tableColumnId="8"/>
      <queryTableField id="9" name="Maximum_Drawdown" tableColumnId="9"/>
      <queryTableField id="10" name="Sharpe_Ratio" tableColumnId="10"/>
      <queryTableField id="11" name="Average_Volum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838171-AB8C-4C77-8768-F23F6FC2405B}" name="stock_analysis_summary" displayName="stock_analysis_summary" ref="A1:K12" tableType="queryTable" totalsRowShown="0">
  <autoFilter ref="A1:K12" xr:uid="{6C838171-AB8C-4C77-8768-F23F6FC2405B}"/>
  <tableColumns count="11">
    <tableColumn id="1" xr3:uid="{F0587B3A-9723-48E5-8BB2-F7903F828884}" uniqueName="1" name="Stock" queryTableFieldId="1" dataDxfId="9"/>
    <tableColumn id="2" xr3:uid="{15222F59-F1CF-4325-9DAA-9E7049415007}" uniqueName="2" name="Sector" queryTableFieldId="2" dataDxfId="8"/>
    <tableColumn id="3" xr3:uid="{C2D76C82-AAA4-4E95-A035-86400967CDA5}" uniqueName="3" name="Latest_Price" queryTableFieldId="3"/>
    <tableColumn id="4" xr3:uid="{A9642E78-9875-49D9-B6E9-001AC0DE255E}" uniqueName="4" name="Highest_Price" queryTableFieldId="4"/>
    <tableColumn id="5" xr3:uid="{24C3B4FF-FB6C-41CE-BE36-6F3C7AA1A19D}" uniqueName="5" name="Lowest_Price" queryTableFieldId="5"/>
    <tableColumn id="6" xr3:uid="{35B5E9C1-F2CF-4EEB-9788-8AEEE0966EFE}" uniqueName="6" name="Daily_Volatility" queryTableFieldId="6"/>
    <tableColumn id="7" xr3:uid="{4F3DD7EE-0921-442E-935E-F1C30A426C0C}" uniqueName="7" name="Annualized_Volatility" queryTableFieldId="7"/>
    <tableColumn id="8" xr3:uid="{CA6E4ECE-F160-4953-A530-1397E086A4ED}" uniqueName="8" name="Annualized_Return" queryTableFieldId="8"/>
    <tableColumn id="9" xr3:uid="{E834791C-30E6-4958-B947-7865CAD79674}" uniqueName="9" name="Maximum_Drawdown" queryTableFieldId="9"/>
    <tableColumn id="10" xr3:uid="{96CDA2CB-FF98-4BFE-A617-9CF95CFB9696}" uniqueName="10" name="Sharpe_Ratio" queryTableFieldId="10"/>
    <tableColumn id="11" xr3:uid="{312AB0D5-84FB-43EF-A9B2-F941A23C0E9A}" uniqueName="11" name="Average_Volume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89598A-36AF-40C4-BD19-CFBB620F4275}" name="stock_analysis_summary3" displayName="stock_analysis_summary3" ref="A8:K19" tableType="queryTable" totalsRowShown="0">
  <autoFilter ref="A8:K19" xr:uid="{D189598A-36AF-40C4-BD19-CFBB620F4275}"/>
  <tableColumns count="11">
    <tableColumn id="1" xr3:uid="{9728E0E0-8DC0-4B82-9BD9-B77B00BCBB25}" uniqueName="1" name="Stock" queryTableFieldId="1" dataDxfId="7"/>
    <tableColumn id="2" xr3:uid="{EC2AD63F-E92D-4B2E-91C6-5FAB7BA86E45}" uniqueName="2" name="Sector" queryTableFieldId="2" dataDxfId="6"/>
    <tableColumn id="3" xr3:uid="{CBBA086D-E1DE-46D8-BFCB-D46B5FA2F930}" uniqueName="3" name="Latest_Price" queryTableFieldId="3"/>
    <tableColumn id="4" xr3:uid="{7D634DE3-F114-4A4B-96DE-E7BDFA897BDA}" uniqueName="4" name="Highest_Price" queryTableFieldId="4"/>
    <tableColumn id="5" xr3:uid="{DEBBCBAE-323B-4471-9E55-7273BEDFC1B1}" uniqueName="5" name="Lowest_Price" queryTableFieldId="5"/>
    <tableColumn id="6" xr3:uid="{89C0CBE8-DB29-4AC1-8DC5-DAF7077B7CD5}" uniqueName="6" name="Daily_Volatility" queryTableFieldId="6" dataDxfId="5" dataCellStyle="Percent"/>
    <tableColumn id="7" xr3:uid="{E4E20BD2-BBE0-48DE-964E-B8006BA3D1C2}" uniqueName="7" name="Annualized_Volatility" queryTableFieldId="7" dataDxfId="4" dataCellStyle="Percent"/>
    <tableColumn id="8" xr3:uid="{355EA8EE-30C3-4CC4-AE76-5EBF15BA90A4}" uniqueName="8" name="Annualized_Return" queryTableFieldId="8" dataDxfId="3" dataCellStyle="Percent"/>
    <tableColumn id="9" xr3:uid="{865F759F-F135-4A43-AFE6-0824385AFA3D}" uniqueName="9" name="Maximum_Drawdown" queryTableFieldId="9" dataDxfId="2" dataCellStyle="Percent"/>
    <tableColumn id="10" xr3:uid="{7E6E9FC4-3924-4ECE-A6D6-8E943EAF90F2}" uniqueName="10" name="Sharpe_Ratio" queryTableFieldId="10" dataDxfId="1"/>
    <tableColumn id="11" xr3:uid="{5B867F64-2984-4896-A1BC-4A3BF02F288F}" uniqueName="11" name="Average_Volume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6A292A-3E5D-45E8-907A-A80837CC2DE2}" name="Table4" displayName="Table4" ref="A3:G10" totalsRowShown="0">
  <autoFilter ref="A3:G10" xr:uid="{6C6A292A-3E5D-45E8-907A-A80837CC2DE2}"/>
  <tableColumns count="7">
    <tableColumn id="1" xr3:uid="{D05FA2ED-1E37-4FDB-9812-5FA275BB5F07}" name="Sector"/>
    <tableColumn id="2" xr3:uid="{3F132A46-0B1F-4511-9155-F90A33CCCE6F}" name="Number of Stocks">
      <calculatedColumnFormula>COUNTIF(stock_analysis_summary[Sector],A4)</calculatedColumnFormula>
    </tableColumn>
    <tableColumn id="3" xr3:uid="{C5948C4F-8773-4B35-ACF2-C724F638E4B0}" name="Average Return" dataCellStyle="Percent">
      <calculatedColumnFormula>AVERAGEIF(stock_analysis_summary[Sector],A4,stock_analysis_summary[Annualized_Return])</calculatedColumnFormula>
    </tableColumn>
    <tableColumn id="4" xr3:uid="{C676C8F2-996B-4602-A445-C74D066EA0C7}" name="Average Volatility" dataCellStyle="Percent">
      <calculatedColumnFormula>AVERAGEIF(stock_analysis_summary[Sector],A4,stock_analysis_summary[Annualized_Volatility])</calculatedColumnFormula>
    </tableColumn>
    <tableColumn id="5" xr3:uid="{468CBA1F-911C-4FEF-A233-4925BB52FC40}" name="Average Drawdown" dataCellStyle="Percent">
      <calculatedColumnFormula>AVERAGEIF(stock_analysis_summary[Sector],A4,stock_analysis_summary[Maximum_Drawdown])</calculatedColumnFormula>
    </tableColumn>
    <tableColumn id="6" xr3:uid="{B6932163-41FB-4B32-A4D0-7C12A880438C}" name="Average Sharpe Ratio">
      <calculatedColumnFormula>AVERAGEIF(stock_analysis_summary[Sector],A4,stock_analysis_summary[Sharpe_Ratio])</calculatedColumnFormula>
    </tableColumn>
    <tableColumn id="7" xr3:uid="{7C956A6A-3DE7-411B-A517-892229EDEC59}" name="Average Volume" dataDxfId="0">
      <calculatedColumnFormula>AVERAGEIF(stock_analysis_summary[Sector],A4,stock_analysis_summary[Average_Volume])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2E06-A361-497D-BCCB-C9909FC50B7D}">
  <dimension ref="A1:K12"/>
  <sheetViews>
    <sheetView workbookViewId="0">
      <selection activeCell="I19" sqref="I19"/>
    </sheetView>
  </sheetViews>
  <sheetFormatPr defaultRowHeight="14.25" x14ac:dyDescent="0.45"/>
  <cols>
    <col min="1" max="1" width="10.9296875" bestFit="1" customWidth="1"/>
    <col min="2" max="2" width="9.73046875" bestFit="1" customWidth="1"/>
    <col min="3" max="3" width="12.73046875" bestFit="1" customWidth="1"/>
    <col min="4" max="4" width="13.9296875" bestFit="1" customWidth="1"/>
    <col min="5" max="5" width="13.53125" bestFit="1" customWidth="1"/>
    <col min="6" max="6" width="14.796875" bestFit="1" customWidth="1"/>
    <col min="7" max="7" width="19.73046875" bestFit="1" customWidth="1"/>
    <col min="8" max="8" width="18" bestFit="1" customWidth="1"/>
    <col min="9" max="9" width="20.06640625" bestFit="1" customWidth="1"/>
    <col min="10" max="10" width="13.53125" bestFit="1" customWidth="1"/>
    <col min="11" max="11" width="16.332031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>
        <v>1034.5</v>
      </c>
      <c r="D2">
        <v>1234.7</v>
      </c>
      <c r="E2">
        <v>802.65</v>
      </c>
      <c r="F2">
        <v>1.4645024827661966E-2</v>
      </c>
      <c r="G2">
        <v>0.23248256183016078</v>
      </c>
      <c r="H2">
        <v>0.28341914273308122</v>
      </c>
      <c r="I2">
        <v>-0.23489167616875711</v>
      </c>
      <c r="J2">
        <v>0.96101462825542672</v>
      </c>
      <c r="K2">
        <v>12255261.996031746</v>
      </c>
    </row>
    <row r="3" spans="1:11" x14ac:dyDescent="0.45">
      <c r="A3" t="s">
        <v>13</v>
      </c>
      <c r="B3" t="s">
        <v>14</v>
      </c>
      <c r="C3">
        <v>1929</v>
      </c>
      <c r="D3">
        <v>2046.9</v>
      </c>
      <c r="E3">
        <v>1548</v>
      </c>
      <c r="F3">
        <v>1.2090956029092437E-2</v>
      </c>
      <c r="G3">
        <v>0.19193797659597378</v>
      </c>
      <c r="H3">
        <v>0.23392822874688157</v>
      </c>
      <c r="I3">
        <v>-0.13228870932518016</v>
      </c>
      <c r="J3">
        <v>0.906168918895074</v>
      </c>
      <c r="K3">
        <v>2617217.1349206348</v>
      </c>
    </row>
    <row r="4" spans="1:11" x14ac:dyDescent="0.45">
      <c r="A4" t="s">
        <v>15</v>
      </c>
      <c r="B4" t="s">
        <v>12</v>
      </c>
      <c r="C4">
        <v>1258</v>
      </c>
      <c r="D4">
        <v>1418.3</v>
      </c>
      <c r="E4">
        <v>1045</v>
      </c>
      <c r="F4">
        <v>1.5277659889895977E-2</v>
      </c>
      <c r="G4">
        <v>0.24252533210214716</v>
      </c>
      <c r="H4">
        <v>0.18511540273198301</v>
      </c>
      <c r="I4">
        <v>-0.17227369921596583</v>
      </c>
      <c r="J4">
        <v>0.51588591446309917</v>
      </c>
      <c r="K4">
        <v>6589166.055555556</v>
      </c>
    </row>
    <row r="5" spans="1:11" x14ac:dyDescent="0.45">
      <c r="A5" t="s">
        <v>16</v>
      </c>
      <c r="B5" t="s">
        <v>17</v>
      </c>
      <c r="C5">
        <v>3980.1</v>
      </c>
      <c r="D5">
        <v>4440</v>
      </c>
      <c r="E5">
        <v>3288.1</v>
      </c>
      <c r="F5">
        <v>1.5588510251253018E-2</v>
      </c>
      <c r="G5">
        <v>0.24745992860877891</v>
      </c>
      <c r="H5">
        <v>0.10607492218763892</v>
      </c>
      <c r="I5">
        <v>-0.24347570222493836</v>
      </c>
      <c r="J5">
        <v>0.18619144702203863</v>
      </c>
      <c r="K5">
        <v>2199227.9761904762</v>
      </c>
    </row>
    <row r="6" spans="1:11" x14ac:dyDescent="0.45">
      <c r="A6" t="s">
        <v>18</v>
      </c>
      <c r="B6" t="s">
        <v>12</v>
      </c>
      <c r="C6">
        <v>1438</v>
      </c>
      <c r="D6">
        <v>1480</v>
      </c>
      <c r="E6">
        <v>1187.5999999999999</v>
      </c>
      <c r="F6">
        <v>1.2003886975397988E-2</v>
      </c>
      <c r="G6">
        <v>0.19055579821818236</v>
      </c>
      <c r="H6">
        <v>1.9135364989369297E-2</v>
      </c>
      <c r="I6">
        <v>-0.1608211551844119</v>
      </c>
      <c r="J6">
        <v>-0.21444970655703458</v>
      </c>
      <c r="K6">
        <v>13678527.555555556</v>
      </c>
    </row>
    <row r="7" spans="1:11" x14ac:dyDescent="0.45">
      <c r="A7" t="s">
        <v>19</v>
      </c>
      <c r="B7" t="s">
        <v>20</v>
      </c>
      <c r="C7">
        <v>1309</v>
      </c>
      <c r="D7">
        <v>1611.8</v>
      </c>
      <c r="E7">
        <v>1249.8</v>
      </c>
      <c r="F7">
        <v>1.271870602271582E-2</v>
      </c>
      <c r="G7">
        <v>0.20190319880787291</v>
      </c>
      <c r="H7">
        <v>-3.3163453726272274E-2</v>
      </c>
      <c r="I7">
        <v>-0.20944545625824279</v>
      </c>
      <c r="J7">
        <v>-0.46142633834605451</v>
      </c>
      <c r="K7">
        <v>13452591.888888888</v>
      </c>
    </row>
    <row r="8" spans="1:11" x14ac:dyDescent="0.45">
      <c r="A8" t="s">
        <v>21</v>
      </c>
      <c r="B8" t="s">
        <v>22</v>
      </c>
      <c r="C8">
        <v>12950</v>
      </c>
      <c r="D8">
        <v>17370</v>
      </c>
      <c r="E8">
        <v>12201</v>
      </c>
      <c r="F8">
        <v>1.4735430639773884E-2</v>
      </c>
      <c r="G8">
        <v>0.23391770960569858</v>
      </c>
      <c r="H8">
        <v>-0.13011352186471414</v>
      </c>
      <c r="I8">
        <v>-0.28834142956280362</v>
      </c>
      <c r="J8">
        <v>-0.81273676193725308</v>
      </c>
      <c r="K8">
        <v>435550.09126984124</v>
      </c>
    </row>
    <row r="9" spans="1:11" x14ac:dyDescent="0.45">
      <c r="A9" t="s">
        <v>23</v>
      </c>
      <c r="B9" t="s">
        <v>24</v>
      </c>
      <c r="C9">
        <v>1156</v>
      </c>
      <c r="D9">
        <v>1728</v>
      </c>
      <c r="E9">
        <v>982.4</v>
      </c>
      <c r="F9">
        <v>1.8820393534871957E-2</v>
      </c>
      <c r="G9">
        <v>0.29876448521783416</v>
      </c>
      <c r="H9">
        <v>-0.22902494331065759</v>
      </c>
      <c r="I9">
        <v>-0.4169132441709078</v>
      </c>
      <c r="J9">
        <v>-0.96740060352195034</v>
      </c>
      <c r="K9">
        <v>11190054.103174603</v>
      </c>
    </row>
    <row r="10" spans="1:11" x14ac:dyDescent="0.45">
      <c r="A10" t="s">
        <v>25</v>
      </c>
      <c r="B10" t="s">
        <v>24</v>
      </c>
      <c r="C10">
        <v>2369</v>
      </c>
      <c r="D10">
        <v>3350</v>
      </c>
      <c r="E10">
        <v>1976.8</v>
      </c>
      <c r="F10">
        <v>1.7604922552199115E-2</v>
      </c>
      <c r="G10">
        <v>0.27946948154202833</v>
      </c>
      <c r="H10">
        <v>-0.23889995502152539</v>
      </c>
      <c r="I10">
        <v>-0.40371138981623511</v>
      </c>
      <c r="J10">
        <v>-1.0695262801944798</v>
      </c>
      <c r="K10">
        <v>3701447.7023809524</v>
      </c>
    </row>
    <row r="11" spans="1:11" x14ac:dyDescent="0.45">
      <c r="A11" t="s">
        <v>26</v>
      </c>
      <c r="B11" t="s">
        <v>12</v>
      </c>
      <c r="C11">
        <v>711.9</v>
      </c>
      <c r="D11">
        <v>1020.5</v>
      </c>
      <c r="E11">
        <v>698.5</v>
      </c>
      <c r="F11">
        <v>1.3177222302456448E-2</v>
      </c>
      <c r="G11">
        <v>0.20918191909748227</v>
      </c>
      <c r="H11">
        <v>-0.25110456553755522</v>
      </c>
      <c r="I11">
        <v>-0.29767211490837048</v>
      </c>
      <c r="J11">
        <v>-1.4872440547434471</v>
      </c>
      <c r="K11">
        <v>30491099.535714287</v>
      </c>
    </row>
    <row r="12" spans="1:11" x14ac:dyDescent="0.45">
      <c r="A12" t="s">
        <v>27</v>
      </c>
      <c r="B12" t="s">
        <v>28</v>
      </c>
      <c r="C12">
        <v>266.60000000000002</v>
      </c>
      <c r="D12">
        <v>427</v>
      </c>
      <c r="E12">
        <v>255.5</v>
      </c>
      <c r="F12">
        <v>1.2923006633851626E-2</v>
      </c>
      <c r="G12">
        <v>0.20514637046645606</v>
      </c>
      <c r="H12">
        <v>-0.34310705925834661</v>
      </c>
      <c r="I12">
        <v>-0.3939753320683112</v>
      </c>
      <c r="J12">
        <v>-1.9649729036968731</v>
      </c>
      <c r="K12">
        <v>18196356.365079366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8503-DB82-4272-84AC-02656C002FFB}">
  <dimension ref="A1:K19"/>
  <sheetViews>
    <sheetView workbookViewId="0">
      <selection activeCell="E19" sqref="E19"/>
    </sheetView>
  </sheetViews>
  <sheetFormatPr defaultRowHeight="14.25" x14ac:dyDescent="0.45"/>
  <cols>
    <col min="1" max="11" width="15.9296875" customWidth="1"/>
  </cols>
  <sheetData>
    <row r="1" spans="1:11" x14ac:dyDescent="0.45">
      <c r="A1" t="s">
        <v>29</v>
      </c>
    </row>
    <row r="2" spans="1:11" x14ac:dyDescent="0.45">
      <c r="A2" t="s">
        <v>30</v>
      </c>
      <c r="B2" s="3" t="str">
        <f>INDEX(stock_analysis_summary[Stock],MATCH(MAX(stock_analysis_summary[Annualized_Return]),stock_analysis_summary[Annualized_Return],0))</f>
        <v>SBIN</v>
      </c>
    </row>
    <row r="3" spans="1:11" x14ac:dyDescent="0.45">
      <c r="A3" t="s">
        <v>31</v>
      </c>
      <c r="B3" s="5">
        <f>MAX(stock_analysis_summary[Annualized_Return])</f>
        <v>0.28341914273308122</v>
      </c>
    </row>
    <row r="4" spans="1:11" x14ac:dyDescent="0.45">
      <c r="A4" t="s">
        <v>32</v>
      </c>
      <c r="B4" s="5">
        <f>MIN(stock_analysis_summary[Annualized_Volatility])</f>
        <v>0.19055579821818236</v>
      </c>
    </row>
    <row r="5" spans="1:11" x14ac:dyDescent="0.45">
      <c r="A5" t="s">
        <v>33</v>
      </c>
      <c r="B5">
        <f>MAX(stock_analysis_summary[Sharpe_Ratio])</f>
        <v>0.96101462825542672</v>
      </c>
    </row>
    <row r="8" spans="1:11" x14ac:dyDescent="0.45">
      <c r="A8" t="s">
        <v>0</v>
      </c>
      <c r="B8" t="s">
        <v>1</v>
      </c>
      <c r="C8" t="s">
        <v>2</v>
      </c>
      <c r="D8" t="s">
        <v>3</v>
      </c>
      <c r="E8" t="s">
        <v>4</v>
      </c>
      <c r="F8" s="5" t="s">
        <v>5</v>
      </c>
      <c r="G8" s="5" t="s">
        <v>6</v>
      </c>
      <c r="H8" s="5" t="s">
        <v>7</v>
      </c>
      <c r="I8" s="5" t="s">
        <v>8</v>
      </c>
      <c r="J8" s="6" t="s">
        <v>9</v>
      </c>
      <c r="K8" t="s">
        <v>10</v>
      </c>
    </row>
    <row r="9" spans="1:11" x14ac:dyDescent="0.45">
      <c r="A9" t="s">
        <v>11</v>
      </c>
      <c r="B9" t="s">
        <v>12</v>
      </c>
      <c r="C9">
        <v>1034.5</v>
      </c>
      <c r="D9">
        <v>1234.7</v>
      </c>
      <c r="E9">
        <v>802.65</v>
      </c>
      <c r="F9" s="5">
        <v>1.4645024827661966E-2</v>
      </c>
      <c r="G9" s="5">
        <v>0.23248256183016078</v>
      </c>
      <c r="H9" s="5">
        <v>0.28341914273308122</v>
      </c>
      <c r="I9" s="5">
        <v>-0.23489167616875711</v>
      </c>
      <c r="J9" s="6">
        <v>0.96101462825542672</v>
      </c>
      <c r="K9">
        <v>12255261.996031746</v>
      </c>
    </row>
    <row r="10" spans="1:11" x14ac:dyDescent="0.45">
      <c r="A10" t="s">
        <v>13</v>
      </c>
      <c r="B10" t="s">
        <v>14</v>
      </c>
      <c r="C10">
        <v>1929</v>
      </c>
      <c r="D10">
        <v>2046.9</v>
      </c>
      <c r="E10">
        <v>1548</v>
      </c>
      <c r="F10" s="5">
        <v>1.2090956029092437E-2</v>
      </c>
      <c r="G10" s="5">
        <v>0.19193797659597378</v>
      </c>
      <c r="H10" s="5">
        <v>0.23392822874688157</v>
      </c>
      <c r="I10" s="5">
        <v>-0.13228870932518016</v>
      </c>
      <c r="J10" s="6">
        <v>0.906168918895074</v>
      </c>
      <c r="K10">
        <v>2617217.1349206348</v>
      </c>
    </row>
    <row r="11" spans="1:11" x14ac:dyDescent="0.45">
      <c r="A11" t="s">
        <v>15</v>
      </c>
      <c r="B11" t="s">
        <v>12</v>
      </c>
      <c r="C11">
        <v>1258</v>
      </c>
      <c r="D11">
        <v>1418.3</v>
      </c>
      <c r="E11">
        <v>1045</v>
      </c>
      <c r="F11" s="5">
        <v>1.5277659889895977E-2</v>
      </c>
      <c r="G11" s="5">
        <v>0.24252533210214716</v>
      </c>
      <c r="H11" s="5">
        <v>0.18511540273198301</v>
      </c>
      <c r="I11" s="5">
        <v>-0.17227369921596583</v>
      </c>
      <c r="J11" s="6">
        <v>0.51588591446309917</v>
      </c>
      <c r="K11">
        <v>6589166.055555556</v>
      </c>
    </row>
    <row r="12" spans="1:11" x14ac:dyDescent="0.45">
      <c r="A12" t="s">
        <v>16</v>
      </c>
      <c r="B12" t="s">
        <v>17</v>
      </c>
      <c r="C12">
        <v>3980.1</v>
      </c>
      <c r="D12">
        <v>4440</v>
      </c>
      <c r="E12">
        <v>3288.1</v>
      </c>
      <c r="F12" s="5">
        <v>1.5588510251253018E-2</v>
      </c>
      <c r="G12" s="5">
        <v>0.24745992860877891</v>
      </c>
      <c r="H12" s="5">
        <v>0.10607492218763892</v>
      </c>
      <c r="I12" s="5">
        <v>-0.24347570222493836</v>
      </c>
      <c r="J12" s="6">
        <v>0.18619144702203863</v>
      </c>
      <c r="K12">
        <v>2199227.9761904762</v>
      </c>
    </row>
    <row r="13" spans="1:11" x14ac:dyDescent="0.45">
      <c r="A13" t="s">
        <v>18</v>
      </c>
      <c r="B13" t="s">
        <v>12</v>
      </c>
      <c r="C13">
        <v>1438</v>
      </c>
      <c r="D13">
        <v>1480</v>
      </c>
      <c r="E13">
        <v>1187.5999999999999</v>
      </c>
      <c r="F13" s="5">
        <v>1.2003886975397988E-2</v>
      </c>
      <c r="G13" s="5">
        <v>0.19055579821818236</v>
      </c>
      <c r="H13" s="5">
        <v>1.9135364989369297E-2</v>
      </c>
      <c r="I13" s="5">
        <v>-0.1608211551844119</v>
      </c>
      <c r="J13" s="6">
        <v>-0.21444970655703458</v>
      </c>
      <c r="K13">
        <v>13678527.555555556</v>
      </c>
    </row>
    <row r="14" spans="1:11" x14ac:dyDescent="0.45">
      <c r="A14" t="s">
        <v>19</v>
      </c>
      <c r="B14" t="s">
        <v>20</v>
      </c>
      <c r="C14">
        <v>1309</v>
      </c>
      <c r="D14">
        <v>1611.8</v>
      </c>
      <c r="E14">
        <v>1249.8</v>
      </c>
      <c r="F14" s="5">
        <v>1.271870602271582E-2</v>
      </c>
      <c r="G14" s="5">
        <v>0.20190319880787291</v>
      </c>
      <c r="H14" s="5">
        <v>-3.3163453726272274E-2</v>
      </c>
      <c r="I14" s="5">
        <v>-0.20944545625824279</v>
      </c>
      <c r="J14" s="6">
        <v>-0.46142633834605451</v>
      </c>
      <c r="K14">
        <v>13452591.888888888</v>
      </c>
    </row>
    <row r="15" spans="1:11" x14ac:dyDescent="0.45">
      <c r="A15" t="s">
        <v>21</v>
      </c>
      <c r="B15" t="s">
        <v>22</v>
      </c>
      <c r="C15">
        <v>12950</v>
      </c>
      <c r="D15">
        <v>17370</v>
      </c>
      <c r="E15">
        <v>12201</v>
      </c>
      <c r="F15" s="5">
        <v>1.4735430639773884E-2</v>
      </c>
      <c r="G15" s="5">
        <v>0.23391770960569858</v>
      </c>
      <c r="H15" s="5">
        <v>-0.13011352186471414</v>
      </c>
      <c r="I15" s="5">
        <v>-0.28834142956280362</v>
      </c>
      <c r="J15" s="6">
        <v>-0.81273676193725308</v>
      </c>
      <c r="K15">
        <v>435550.09126984124</v>
      </c>
    </row>
    <row r="16" spans="1:11" x14ac:dyDescent="0.45">
      <c r="A16" t="s">
        <v>23</v>
      </c>
      <c r="B16" t="s">
        <v>24</v>
      </c>
      <c r="C16">
        <v>1156</v>
      </c>
      <c r="D16">
        <v>1728</v>
      </c>
      <c r="E16">
        <v>982.4</v>
      </c>
      <c r="F16" s="5">
        <v>1.8820393534871957E-2</v>
      </c>
      <c r="G16" s="5">
        <v>0.29876448521783416</v>
      </c>
      <c r="H16" s="5">
        <v>-0.22902494331065759</v>
      </c>
      <c r="I16" s="5">
        <v>-0.4169132441709078</v>
      </c>
      <c r="J16" s="6">
        <v>-0.96740060352195034</v>
      </c>
      <c r="K16">
        <v>11190054.103174603</v>
      </c>
    </row>
    <row r="17" spans="1:11" x14ac:dyDescent="0.45">
      <c r="A17" t="s">
        <v>25</v>
      </c>
      <c r="B17" t="s">
        <v>24</v>
      </c>
      <c r="C17">
        <v>2369</v>
      </c>
      <c r="D17">
        <v>3350</v>
      </c>
      <c r="E17">
        <v>1976.8</v>
      </c>
      <c r="F17" s="5">
        <v>1.7604922552199115E-2</v>
      </c>
      <c r="G17" s="5">
        <v>0.27946948154202833</v>
      </c>
      <c r="H17" s="5">
        <v>-0.23889995502152539</v>
      </c>
      <c r="I17" s="5">
        <v>-0.40371138981623511</v>
      </c>
      <c r="J17" s="6">
        <v>-1.0695262801944798</v>
      </c>
      <c r="K17">
        <v>3701447.7023809524</v>
      </c>
    </row>
    <row r="18" spans="1:11" x14ac:dyDescent="0.45">
      <c r="A18" t="s">
        <v>26</v>
      </c>
      <c r="B18" t="s">
        <v>12</v>
      </c>
      <c r="C18">
        <v>711.9</v>
      </c>
      <c r="D18">
        <v>1020.5</v>
      </c>
      <c r="E18">
        <v>698.5</v>
      </c>
      <c r="F18" s="5">
        <v>1.3177222302456448E-2</v>
      </c>
      <c r="G18" s="5">
        <v>0.20918191909748227</v>
      </c>
      <c r="H18" s="5">
        <v>-0.25110456553755522</v>
      </c>
      <c r="I18" s="5">
        <v>-0.29767211490837048</v>
      </c>
      <c r="J18" s="6">
        <v>-1.4872440547434471</v>
      </c>
      <c r="K18">
        <v>30491099.535714287</v>
      </c>
    </row>
    <row r="19" spans="1:11" x14ac:dyDescent="0.45">
      <c r="A19" t="s">
        <v>27</v>
      </c>
      <c r="B19" t="s">
        <v>28</v>
      </c>
      <c r="C19">
        <v>266.60000000000002</v>
      </c>
      <c r="D19">
        <v>427</v>
      </c>
      <c r="E19">
        <v>255.5</v>
      </c>
      <c r="F19" s="5">
        <v>1.2923006633851626E-2</v>
      </c>
      <c r="G19" s="5">
        <v>0.20514637046645606</v>
      </c>
      <c r="H19" s="5">
        <v>-0.34310705925834661</v>
      </c>
      <c r="I19" s="5">
        <v>-0.3939753320683112</v>
      </c>
      <c r="J19" s="6">
        <v>-1.9649729036968731</v>
      </c>
      <c r="K19">
        <v>18196356.365079366</v>
      </c>
    </row>
  </sheetData>
  <conditionalFormatting sqref="H9:H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:I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:J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A7A2-A423-463C-B412-BFD7FB8B6264}">
  <dimension ref="A1:D15"/>
  <sheetViews>
    <sheetView topLeftCell="B1" workbookViewId="0">
      <selection activeCell="N5" sqref="N5"/>
    </sheetView>
  </sheetViews>
  <sheetFormatPr defaultRowHeight="14.25" x14ac:dyDescent="0.45"/>
  <cols>
    <col min="1" max="1" width="23.86328125" customWidth="1"/>
    <col min="3" max="3" width="15.53125" customWidth="1"/>
    <col min="4" max="4" width="17.796875" customWidth="1"/>
  </cols>
  <sheetData>
    <row r="1" spans="1:4" x14ac:dyDescent="0.45">
      <c r="A1" t="s">
        <v>34</v>
      </c>
    </row>
    <row r="4" spans="1:4" x14ac:dyDescent="0.45">
      <c r="A4" s="1" t="s">
        <v>0</v>
      </c>
      <c r="B4" s="2" t="s">
        <v>1</v>
      </c>
      <c r="C4" s="2" t="s">
        <v>7</v>
      </c>
      <c r="D4" s="2" t="s">
        <v>6</v>
      </c>
    </row>
    <row r="5" spans="1:4" x14ac:dyDescent="0.45">
      <c r="A5" s="7" t="s">
        <v>11</v>
      </c>
      <c r="B5" s="9" t="s">
        <v>12</v>
      </c>
      <c r="C5" s="11">
        <v>0.28341914273308122</v>
      </c>
      <c r="D5" s="11">
        <v>0.23248256183016078</v>
      </c>
    </row>
    <row r="6" spans="1:4" x14ac:dyDescent="0.45">
      <c r="A6" s="8" t="s">
        <v>13</v>
      </c>
      <c r="B6" s="10" t="s">
        <v>14</v>
      </c>
      <c r="C6" s="12">
        <v>0.23392822874688157</v>
      </c>
      <c r="D6" s="12">
        <v>0.19193797659597378</v>
      </c>
    </row>
    <row r="7" spans="1:4" x14ac:dyDescent="0.45">
      <c r="A7" s="7" t="s">
        <v>15</v>
      </c>
      <c r="B7" s="9" t="s">
        <v>12</v>
      </c>
      <c r="C7" s="11">
        <v>0.18511540273198301</v>
      </c>
      <c r="D7" s="11">
        <v>0.24252533210214716</v>
      </c>
    </row>
    <row r="8" spans="1:4" x14ac:dyDescent="0.45">
      <c r="A8" s="8" t="s">
        <v>16</v>
      </c>
      <c r="B8" s="10" t="s">
        <v>17</v>
      </c>
      <c r="C8" s="12">
        <v>0.10607492218763892</v>
      </c>
      <c r="D8" s="12">
        <v>0.24745992860877891</v>
      </c>
    </row>
    <row r="9" spans="1:4" x14ac:dyDescent="0.45">
      <c r="A9" s="7" t="s">
        <v>18</v>
      </c>
      <c r="B9" s="9" t="s">
        <v>12</v>
      </c>
      <c r="C9" s="11">
        <v>1.9135364989369297E-2</v>
      </c>
      <c r="D9" s="11">
        <v>0.19055579821818236</v>
      </c>
    </row>
    <row r="10" spans="1:4" x14ac:dyDescent="0.45">
      <c r="A10" s="8" t="s">
        <v>19</v>
      </c>
      <c r="B10" s="10" t="s">
        <v>20</v>
      </c>
      <c r="C10" s="12">
        <v>-3.3163453726272274E-2</v>
      </c>
      <c r="D10" s="12">
        <v>0.20190319880787291</v>
      </c>
    </row>
    <row r="11" spans="1:4" x14ac:dyDescent="0.45">
      <c r="A11" s="7" t="s">
        <v>21</v>
      </c>
      <c r="B11" s="9" t="s">
        <v>22</v>
      </c>
      <c r="C11" s="11">
        <v>-0.13011352186471414</v>
      </c>
      <c r="D11" s="11">
        <v>0.23391770960569858</v>
      </c>
    </row>
    <row r="12" spans="1:4" x14ac:dyDescent="0.45">
      <c r="A12" s="8" t="s">
        <v>23</v>
      </c>
      <c r="B12" s="10" t="s">
        <v>24</v>
      </c>
      <c r="C12" s="12">
        <v>-0.22902494331065759</v>
      </c>
      <c r="D12" s="12">
        <v>0.29876448521783416</v>
      </c>
    </row>
    <row r="13" spans="1:4" x14ac:dyDescent="0.45">
      <c r="A13" s="7" t="s">
        <v>25</v>
      </c>
      <c r="B13" s="9" t="s">
        <v>24</v>
      </c>
      <c r="C13" s="11">
        <v>-0.23889995502152539</v>
      </c>
      <c r="D13" s="11">
        <v>0.27946948154202833</v>
      </c>
    </row>
    <row r="14" spans="1:4" x14ac:dyDescent="0.45">
      <c r="A14" s="8" t="s">
        <v>26</v>
      </c>
      <c r="B14" s="10" t="s">
        <v>12</v>
      </c>
      <c r="C14" s="12">
        <v>-0.25110456553755522</v>
      </c>
      <c r="D14" s="12">
        <v>0.20918191909748227</v>
      </c>
    </row>
    <row r="15" spans="1:4" x14ac:dyDescent="0.45">
      <c r="A15" s="7" t="s">
        <v>27</v>
      </c>
      <c r="B15" s="9" t="s">
        <v>28</v>
      </c>
      <c r="C15" s="11">
        <v>-0.34310705925834661</v>
      </c>
      <c r="D15" s="11">
        <v>0.20514637046645606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1D42-ADCC-43ED-87D4-2B7CE20B5631}">
  <dimension ref="A1:G10"/>
  <sheetViews>
    <sheetView topLeftCell="A4" workbookViewId="0">
      <selection activeCell="H8" sqref="H8"/>
    </sheetView>
  </sheetViews>
  <sheetFormatPr defaultRowHeight="14.25" x14ac:dyDescent="0.45"/>
  <cols>
    <col min="1" max="5" width="18.06640625" customWidth="1"/>
    <col min="6" max="6" width="18.86328125" customWidth="1"/>
    <col min="7" max="8" width="18.06640625" customWidth="1"/>
  </cols>
  <sheetData>
    <row r="1" spans="1:7" x14ac:dyDescent="0.45">
      <c r="A1" t="s">
        <v>35</v>
      </c>
    </row>
    <row r="3" spans="1:7" x14ac:dyDescent="0.45">
      <c r="A3" t="s">
        <v>1</v>
      </c>
      <c r="B3" t="s">
        <v>36</v>
      </c>
      <c r="C3" s="4" t="s">
        <v>37</v>
      </c>
      <c r="D3" s="4" t="s">
        <v>38</v>
      </c>
      <c r="E3" s="4" t="s">
        <v>39</v>
      </c>
      <c r="F3" t="s">
        <v>40</v>
      </c>
      <c r="G3" t="s">
        <v>41</v>
      </c>
    </row>
    <row r="4" spans="1:7" x14ac:dyDescent="0.45">
      <c r="A4" t="s">
        <v>12</v>
      </c>
      <c r="B4">
        <f>COUNTIF(stock_analysis_summary[Sector],A4)</f>
        <v>4</v>
      </c>
      <c r="C4" s="4">
        <f>AVERAGEIF(stock_analysis_summary[Sector],A4,stock_analysis_summary[Annualized_Return])</f>
        <v>5.9141336229219577E-2</v>
      </c>
      <c r="D4" s="4">
        <f>AVERAGEIF(stock_analysis_summary[Sector],A4,stock_analysis_summary[Annualized_Volatility])</f>
        <v>0.21868640281199314</v>
      </c>
      <c r="E4" s="4">
        <f>AVERAGEIF(stock_analysis_summary[Sector],A4,stock_analysis_summary[Maximum_Drawdown])</f>
        <v>-0.21641466136937632</v>
      </c>
      <c r="F4">
        <f>AVERAGEIF(stock_analysis_summary[Sector],A4,stock_analysis_summary[Sharpe_Ratio])</f>
        <v>-5.6198304645488972E-2</v>
      </c>
      <c r="G4" s="13">
        <f>AVERAGEIF(stock_analysis_summary[Sector],A4,stock_analysis_summary[Average_Volume])</f>
        <v>15753513.785714287</v>
      </c>
    </row>
    <row r="5" spans="1:7" x14ac:dyDescent="0.45">
      <c r="A5" t="s">
        <v>14</v>
      </c>
      <c r="B5">
        <f>COUNTIF(stock_analysis_summary[Sector],A5)</f>
        <v>1</v>
      </c>
      <c r="C5" s="4">
        <f>AVERAGEIF(stock_analysis_summary[Sector],A5,stock_analysis_summary[Annualized_Return])</f>
        <v>0.23392822874688157</v>
      </c>
      <c r="D5" s="4">
        <f>AVERAGEIF(stock_analysis_summary[Sector],A5,stock_analysis_summary[Annualized_Volatility])</f>
        <v>0.19193797659597378</v>
      </c>
      <c r="E5" s="4">
        <f>AVERAGEIF(stock_analysis_summary[Sector],A5,stock_analysis_summary[Maximum_Drawdown])</f>
        <v>-0.13228870932518016</v>
      </c>
      <c r="F5">
        <f>AVERAGEIF(stock_analysis_summary[Sector],A5,stock_analysis_summary[Sharpe_Ratio])</f>
        <v>0.906168918895074</v>
      </c>
      <c r="G5" s="13">
        <f>AVERAGEIF(stock_analysis_summary[Sector],A5,stock_analysis_summary[Average_Volume])</f>
        <v>2617217.1349206348</v>
      </c>
    </row>
    <row r="6" spans="1:7" x14ac:dyDescent="0.45">
      <c r="A6" t="s">
        <v>17</v>
      </c>
      <c r="B6">
        <f>COUNTIF(stock_analysis_summary[Sector],A6)</f>
        <v>1</v>
      </c>
      <c r="C6" s="4">
        <f>AVERAGEIF(stock_analysis_summary[Sector],A6,stock_analysis_summary[Annualized_Return])</f>
        <v>0.10607492218763892</v>
      </c>
      <c r="D6" s="4">
        <f>AVERAGEIF(stock_analysis_summary[Sector],A6,stock_analysis_summary[Annualized_Volatility])</f>
        <v>0.24745992860877891</v>
      </c>
      <c r="E6" s="4">
        <f>AVERAGEIF(stock_analysis_summary[Sector],A6,stock_analysis_summary[Maximum_Drawdown])</f>
        <v>-0.24347570222493836</v>
      </c>
      <c r="F6">
        <f>AVERAGEIF(stock_analysis_summary[Sector],A6,stock_analysis_summary[Sharpe_Ratio])</f>
        <v>0.18619144702203863</v>
      </c>
      <c r="G6" s="13">
        <f>AVERAGEIF(stock_analysis_summary[Sector],A6,stock_analysis_summary[Average_Volume])</f>
        <v>2199227.9761904762</v>
      </c>
    </row>
    <row r="7" spans="1:7" x14ac:dyDescent="0.45">
      <c r="A7" t="s">
        <v>20</v>
      </c>
      <c r="B7">
        <f>COUNTIF(stock_analysis_summary[Sector],A7)</f>
        <v>1</v>
      </c>
      <c r="C7" s="4">
        <f>AVERAGEIF(stock_analysis_summary[Sector],A7,stock_analysis_summary[Annualized_Return])</f>
        <v>-3.3163453726272274E-2</v>
      </c>
      <c r="D7" s="4">
        <f>AVERAGEIF(stock_analysis_summary[Sector],A7,stock_analysis_summary[Annualized_Volatility])</f>
        <v>0.20190319880787291</v>
      </c>
      <c r="E7" s="4">
        <f>AVERAGEIF(stock_analysis_summary[Sector],A7,stock_analysis_summary[Maximum_Drawdown])</f>
        <v>-0.20944545625824279</v>
      </c>
      <c r="F7">
        <f>AVERAGEIF(stock_analysis_summary[Sector],A7,stock_analysis_summary[Sharpe_Ratio])</f>
        <v>-0.46142633834605451</v>
      </c>
      <c r="G7" s="13">
        <f>AVERAGEIF(stock_analysis_summary[Sector],A7,stock_analysis_summary[Average_Volume])</f>
        <v>13452591.888888888</v>
      </c>
    </row>
    <row r="8" spans="1:7" x14ac:dyDescent="0.45">
      <c r="A8" t="s">
        <v>22</v>
      </c>
      <c r="B8">
        <f>COUNTIF(stock_analysis_summary[Sector],A8)</f>
        <v>1</v>
      </c>
      <c r="C8" s="4">
        <f>AVERAGEIF(stock_analysis_summary[Sector],A8,stock_analysis_summary[Annualized_Return])</f>
        <v>-0.13011352186471414</v>
      </c>
      <c r="D8" s="4">
        <f>AVERAGEIF(stock_analysis_summary[Sector],A8,stock_analysis_summary[Annualized_Volatility])</f>
        <v>0.23391770960569858</v>
      </c>
      <c r="E8" s="4">
        <f>AVERAGEIF(stock_analysis_summary[Sector],A8,stock_analysis_summary[Maximum_Drawdown])</f>
        <v>-0.28834142956280362</v>
      </c>
      <c r="F8">
        <f>AVERAGEIF(stock_analysis_summary[Sector],A8,stock_analysis_summary[Sharpe_Ratio])</f>
        <v>-0.81273676193725308</v>
      </c>
      <c r="G8" s="13">
        <f>AVERAGEIF(stock_analysis_summary[Sector],A8,stock_analysis_summary[Average_Volume])</f>
        <v>435550.09126984124</v>
      </c>
    </row>
    <row r="9" spans="1:7" x14ac:dyDescent="0.45">
      <c r="A9" t="s">
        <v>24</v>
      </c>
      <c r="B9">
        <f>COUNTIF(stock_analysis_summary[Sector],A9)</f>
        <v>2</v>
      </c>
      <c r="C9" s="4">
        <f>AVERAGEIF(stock_analysis_summary[Sector],A9,stock_analysis_summary[Annualized_Return])</f>
        <v>-0.23396244916609149</v>
      </c>
      <c r="D9" s="4">
        <f>AVERAGEIF(stock_analysis_summary[Sector],A9,stock_analysis_summary[Annualized_Volatility])</f>
        <v>0.28911698337993125</v>
      </c>
      <c r="E9" s="4">
        <f>AVERAGEIF(stock_analysis_summary[Sector],A9,stock_analysis_summary[Maximum_Drawdown])</f>
        <v>-0.41031231699357146</v>
      </c>
      <c r="F9">
        <f>AVERAGEIF(stock_analysis_summary[Sector],A9,stock_analysis_summary[Sharpe_Ratio])</f>
        <v>-1.018463441858215</v>
      </c>
      <c r="G9" s="13">
        <f>AVERAGEIF(stock_analysis_summary[Sector],A9,stock_analysis_summary[Average_Volume])</f>
        <v>7445750.902777778</v>
      </c>
    </row>
    <row r="10" spans="1:7" x14ac:dyDescent="0.45">
      <c r="A10" t="s">
        <v>28</v>
      </c>
      <c r="B10">
        <f>COUNTIF(stock_analysis_summary[Sector],A10)</f>
        <v>1</v>
      </c>
      <c r="C10" s="4">
        <f>AVERAGEIF(stock_analysis_summary[Sector],A10,stock_analysis_summary[Annualized_Return])</f>
        <v>-0.34310705925834661</v>
      </c>
      <c r="D10" s="4">
        <f>AVERAGEIF(stock_analysis_summary[Sector],A10,stock_analysis_summary[Annualized_Volatility])</f>
        <v>0.20514637046645606</v>
      </c>
      <c r="E10" s="4">
        <f>AVERAGEIF(stock_analysis_summary[Sector],A10,stock_analysis_summary[Maximum_Drawdown])</f>
        <v>-0.3939753320683112</v>
      </c>
      <c r="F10">
        <f>AVERAGEIF(stock_analysis_summary[Sector],A10,stock_analysis_summary[Sharpe_Ratio])</f>
        <v>-1.9649729036968731</v>
      </c>
      <c r="G10" s="13">
        <f>AVERAGEIF(stock_analysis_summary[Sector],A10,stock_analysis_summary[Average_Volume])</f>
        <v>18196356.365079366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B727-6E3C-4364-A595-13CCF6684392}">
  <dimension ref="A1:J6"/>
  <sheetViews>
    <sheetView tabSelected="1" topLeftCell="A3" zoomScale="44" zoomScaleNormal="70" workbookViewId="0">
      <selection activeCell="Q27" sqref="Q27"/>
    </sheetView>
  </sheetViews>
  <sheetFormatPr defaultRowHeight="14.25" x14ac:dyDescent="0.45"/>
  <cols>
    <col min="1" max="1" width="34.46484375" customWidth="1"/>
    <col min="2" max="6" width="17" customWidth="1"/>
    <col min="7" max="7" width="18" customWidth="1"/>
    <col min="8" max="8" width="18.06640625" customWidth="1"/>
    <col min="9" max="10" width="11.9296875" customWidth="1"/>
  </cols>
  <sheetData>
    <row r="1" spans="1:10" x14ac:dyDescent="0.45">
      <c r="A1" s="14" t="s">
        <v>42</v>
      </c>
      <c r="B1" s="14"/>
      <c r="C1" s="14"/>
      <c r="D1" s="14"/>
      <c r="E1" s="14"/>
      <c r="F1" s="14"/>
      <c r="G1" s="14"/>
      <c r="H1" s="14"/>
    </row>
    <row r="2" spans="1:10" x14ac:dyDescent="0.45">
      <c r="A2" s="14"/>
      <c r="B2" s="14"/>
      <c r="C2" s="14"/>
      <c r="D2" s="14"/>
      <c r="E2" s="14"/>
      <c r="F2" s="14"/>
      <c r="G2" s="14"/>
      <c r="H2" s="14"/>
    </row>
    <row r="4" spans="1:10" x14ac:dyDescent="0.45">
      <c r="A4" s="16" t="s">
        <v>43</v>
      </c>
      <c r="B4" s="16"/>
      <c r="D4" s="14" t="s">
        <v>44</v>
      </c>
      <c r="E4" s="14"/>
      <c r="G4" s="14" t="s">
        <v>45</v>
      </c>
      <c r="H4" s="14"/>
      <c r="I4" s="14" t="s">
        <v>46</v>
      </c>
      <c r="J4" s="14"/>
    </row>
    <row r="5" spans="1:10" x14ac:dyDescent="0.45">
      <c r="A5" s="17" t="str">
        <f>INDEX(stock_analysis_summary[Stock],MATCH(MAX(stock_analysis_summary[Annualized_Return]),stock_analysis_summary[Annualized_Return],0))</f>
        <v>SBIN</v>
      </c>
      <c r="B5" s="17"/>
      <c r="D5" s="18">
        <f>MAX(stock_analysis_summary[Annualized_Return])</f>
        <v>0.28341914273308122</v>
      </c>
      <c r="E5" s="18"/>
      <c r="G5" s="18">
        <f>MIN(stock_analysis_summary[Annualized_Volatility])</f>
        <v>0.19055579821818236</v>
      </c>
      <c r="H5" s="18"/>
      <c r="I5" s="15">
        <f>MAX(stock_analysis_summary[Sharpe_Ratio])</f>
        <v>0.96101462825542672</v>
      </c>
      <c r="J5" s="15"/>
    </row>
    <row r="6" spans="1:10" x14ac:dyDescent="0.45">
      <c r="A6" s="17"/>
      <c r="B6" s="17"/>
    </row>
  </sheetData>
  <mergeCells count="9">
    <mergeCell ref="I4:J4"/>
    <mergeCell ref="I5:J5"/>
    <mergeCell ref="A1:H2"/>
    <mergeCell ref="A4:B4"/>
    <mergeCell ref="A5:B6"/>
    <mergeCell ref="D4:E4"/>
    <mergeCell ref="D5:E5"/>
    <mergeCell ref="G4:H4"/>
    <mergeCell ref="G5:H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BC5BE4-85FB-41F1-99DC-4EC2D63A15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stock_analysis_summary</vt:lpstr>
      <vt:lpstr>Stock Summary</vt:lpstr>
      <vt:lpstr>Risk Analysis</vt:lpstr>
      <vt:lpstr>Sector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Ladhe</dc:creator>
  <cp:lastModifiedBy>Parth Ladhe</cp:lastModifiedBy>
  <dcterms:created xsi:type="dcterms:W3CDTF">2026-09-03T15:07:04Z</dcterms:created>
  <dcterms:modified xsi:type="dcterms:W3CDTF">2026-09-04T14:46:59Z</dcterms:modified>
</cp:coreProperties>
</file>